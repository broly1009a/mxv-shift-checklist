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30"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quanlygd\Desktop\Bao cao so lot giao dich\"/>
    </mc:Choice>
  </mc:AlternateContent>
  <xr:revisionPtr revIDLastSave="0" documentId="13_ncr:1_{E3080160-2319-4690-9810-FF040B3686AB}" xr6:coauthVersionLast="47" xr6:coauthVersionMax="47" xr10:uidLastSave="{00000000-0000-0000-0000-000000000000}"/>
  <bookViews>
    <workbookView xWindow="-105" yWindow="-105" windowWidth="22155" windowHeight="11955" firstSheet="6" activeTab="6" xr2:uid="{7A58A36B-2566-49C1-A300-9E033A794873}"/>
  </bookViews>
  <sheets>
    <sheet name="Sheet1" sheetId="1" state="hidden" r:id="rId1"/>
    <sheet name="Sheet2" sheetId="2" state="hidden" r:id="rId2"/>
    <sheet name="Sheet3" sheetId="3" state="hidden" r:id="rId3"/>
    <sheet name="Sheet4" sheetId="4" state="hidden" r:id="rId4"/>
    <sheet name="Sheet5" sheetId="5" state="hidden" r:id="rId5"/>
    <sheet name="Sheet6" sheetId="6" state="hidden" r:id="rId6"/>
    <sheet name="Marco" sheetId="7" r:id="rId7"/>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7" l="1"/>
  <c r="A9" i="1" s="1"/>
  <c r="A1" i="2"/>
  <c r="A7" i="1" l="1"/>
  <c r="A12" i="1"/>
  <c r="A6" i="1"/>
  <c r="A5" i="1"/>
  <c r="A4" i="1"/>
  <c r="A3" i="1"/>
  <c r="A2" i="1"/>
  <c r="A1" i="1"/>
</calcChain>
</file>

<file path=xl/sharedStrings.xml><?xml version="1.0" encoding="utf-8"?>
<sst xmlns="http://schemas.openxmlformats.org/spreadsheetml/2006/main" count="262" uniqueCount="174">
  <si>
    <t>Mã TVKD</t>
  </si>
  <si>
    <t>001</t>
  </si>
  <si>
    <t>002</t>
  </si>
  <si>
    <t>003</t>
  </si>
  <si>
    <t>004</t>
  </si>
  <si>
    <t>005</t>
  </si>
  <si>
    <t>006</t>
  </si>
  <si>
    <t>M:\Quanlygiaodich\Tai lieu hoat dong\Backup MS\Futures\</t>
  </si>
  <si>
    <t>007</t>
  </si>
  <si>
    <t>008</t>
  </si>
  <si>
    <t>M:\Quanlygiaodich\Tai lieu hoat dong\Backup MS\Spread\</t>
  </si>
  <si>
    <t>009</t>
  </si>
  <si>
    <t>M:\Quanlygiaodich\Tai lieu hoat dong\Backup CQG\Futures\</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</si>
  <si>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</si>
  <si>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</si>
  <si>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</si>
  <si>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</si>
  <si>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</si>
  <si>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</si>
  <si>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</si>
  <si>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</si>
  <si>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</si>
  <si>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</si>
  <si>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</si>
  <si>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</si>
  <si>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</si>
  <si>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</si>
  <si>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</si>
  <si>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</si>
  <si>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</si>
  <si>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</si>
  <si>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</si>
  <si>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</si>
  <si>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</si>
  <si>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</si>
  <si>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</si>
  <si>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</si>
  <si>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</si>
  <si>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</si>
  <si>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</si>
  <si>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</si>
  <si>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</si>
  <si>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</si>
  <si>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</si>
  <si>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</si>
  <si>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</si>
  <si>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</si>
  <si>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</si>
  <si>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</si>
  <si>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</si>
  <si>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</si>
  <si>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</si>
  <si>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</si>
  <si>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</si>
  <si>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</si>
  <si>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</si>
  <si>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</si>
  <si>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</si>
  <si>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</si>
  <si>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</si>
  <si>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</si>
  <si>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</si>
  <si>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</si>
  <si>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</si>
  <si>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</si>
  <si>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</si>
  <si>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</si>
  <si>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</si>
  <si>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</si>
  <si>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</si>
  <si>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</si>
  <si>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</si>
  <si>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</si>
  <si>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</si>
  <si>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</si>
  <si>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</si>
  <si>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</si>
  <si>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</si>
  <si>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</si>
  <si>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</si>
  <si>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</si>
  <si>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</si>
  <si>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</si>
  <si>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</si>
  <si>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</si>
  <si>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</si>
  <si>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</si>
  <si>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</si>
  <si>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</si>
  <si>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</si>
  <si>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</si>
  <si>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</si>
  <si>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</si>
  <si>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</si>
  <si>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</si>
  <si>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</si>
  <si>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</si>
  <si>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</si>
  <si>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</si>
  <si>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</si>
  <si>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</si>
  <si>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</si>
  <si>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</si>
  <si>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100</t>
  </si>
  <si>
    <t>Account Number</t>
  </si>
  <si>
    <t>Trader</t>
  </si>
  <si>
    <t>Order Number</t>
  </si>
  <si>
    <t>Leg Number</t>
  </si>
  <si>
    <t>Buy Or Sell</t>
  </si>
  <si>
    <t>Quantity</t>
  </si>
  <si>
    <t>Contract</t>
  </si>
  <si>
    <t>Fill Price</t>
  </si>
  <si>
    <t>Fill Price Decimal</t>
  </si>
  <si>
    <t>Fill Time</t>
  </si>
  <si>
    <t>Hedge Type</t>
  </si>
  <si>
    <t>Disclaimer: Fills may be canceled or corrected after they are reported to us. This statement represents fill data in our system as of the time shown; it is for convenience only and should not be relied upon as accurate.</t>
  </si>
  <si>
    <t>B/S</t>
  </si>
  <si>
    <t>Qty</t>
  </si>
  <si>
    <t>Symbol</t>
  </si>
  <si>
    <t>Order Price</t>
  </si>
  <si>
    <t>Type</t>
  </si>
  <si>
    <t>Limit Price</t>
  </si>
  <si>
    <t>Order #</t>
  </si>
  <si>
    <t>Place Time</t>
  </si>
  <si>
    <t>Order Id</t>
  </si>
  <si>
    <t>Unfilled</t>
  </si>
  <si>
    <t>Filled</t>
  </si>
  <si>
    <t>Status</t>
  </si>
  <si>
    <t>User</t>
  </si>
  <si>
    <t>FCM</t>
  </si>
  <si>
    <t>Acct Name</t>
  </si>
  <si>
    <t>Acct #</t>
  </si>
  <si>
    <t>Dur</t>
  </si>
  <si>
    <t>Park Time</t>
  </si>
  <si>
    <t>CXL Time</t>
  </si>
  <si>
    <t>WO</t>
  </si>
  <si>
    <t>Parked</t>
  </si>
  <si>
    <t>Cancelled</t>
  </si>
  <si>
    <t>Exceptions</t>
  </si>
  <si>
    <t>OP</t>
  </si>
  <si>
    <t>PS</t>
  </si>
  <si>
    <t>AS</t>
  </si>
  <si>
    <t>Date</t>
  </si>
  <si>
    <t>Long</t>
  </si>
  <si>
    <t>Short</t>
  </si>
  <si>
    <t>Currency</t>
  </si>
  <si>
    <t>Price</t>
  </si>
  <si>
    <t>OTE/UPL</t>
  </si>
  <si>
    <t>UPL</t>
  </si>
  <si>
    <t>MVO</t>
  </si>
  <si>
    <t>Account</t>
  </si>
  <si>
    <t>Description</t>
  </si>
  <si>
    <t>Profit/Loss</t>
  </si>
  <si>
    <t>Account Balance</t>
  </si>
  <si>
    <t>OTE/UPL &amp; P/L</t>
  </si>
  <si>
    <t>Previous Day Balance</t>
  </si>
  <si>
    <t>Collateral on Deposit</t>
  </si>
  <si>
    <t>NLV</t>
  </si>
  <si>
    <t>Cash Excess</t>
  </si>
  <si>
    <t>Currency Rate</t>
  </si>
  <si>
    <t>Ngày phiên ghép file</t>
  </si>
  <si>
    <t>Lưu các file tên là Fi1, Fi2,... trong thư mục ngày phiên tương ứng của back up CQG Futures</t>
  </si>
  <si>
    <t>Chạy button "Ghép file FR"</t>
  </si>
  <si>
    <r>
      <rPr>
        <b/>
        <sz val="11"/>
        <color theme="1"/>
        <rFont val="Arial"/>
        <family val="2"/>
      </rPr>
      <t>Note:</t>
    </r>
    <r>
      <rPr>
        <sz val="11"/>
        <color theme="1"/>
        <rFont val="Arial"/>
        <family val="2"/>
      </rPr>
      <t xml:space="preserve"> 2 ký tự đầu tên file là Fi (Không có dấu cách hay khoảng trống trước chữ F), ký tự sau Fi là gì cũng được nhưng thống nhất để 1,2,3,...</t>
    </r>
  </si>
  <si>
    <t>Lưu các file tên là Od1, Od2, Od3,... trong thư mục ngày phiên tương ứng của Back up CQG Futures</t>
  </si>
  <si>
    <t>Tên các sheet theo tên các tab tương ứng của CQG, Working Orders viết tắt là WO</t>
  </si>
  <si>
    <t>Thứ tự các sheet trong 1 file từ trái sang phải sẽ theo thứ tự từ trên xuống dưới, từ trái sang phải của các tab tương ứng trên giao diện CQG: 
WO-&gt;Filled-&gt;Parked-&gt;Cancelled-&gt;Exceptions</t>
  </si>
  <si>
    <r>
      <rPr>
        <b/>
        <sz val="11"/>
        <color theme="1"/>
        <rFont val="Arial"/>
        <family val="2"/>
      </rPr>
      <t>Note:</t>
    </r>
    <r>
      <rPr>
        <sz val="11"/>
        <color theme="1"/>
        <rFont val="Arial"/>
        <family val="2"/>
      </rPr>
      <t xml:space="preserve"> 1. Tên file các ký tự đầu là Od (không có dấu cách hay khoảng trống trước chữ O), sau Od là ký tự gì cũng được nhưng thống nhất để 1,2,3,...
          2. Tên Sheet có thể sai chính tả nhưng </t>
    </r>
    <r>
      <rPr>
        <b/>
        <sz val="11"/>
        <color theme="1"/>
        <rFont val="Arial"/>
        <family val="2"/>
      </rPr>
      <t xml:space="preserve">thứ tự các sheet phải đúng
          </t>
    </r>
    <r>
      <rPr>
        <sz val="11"/>
        <color theme="1"/>
        <rFont val="Arial"/>
        <family val="2"/>
      </rPr>
      <t xml:space="preserve">3. Khi Copy-&gt;Paste từ CQG vào file, phải </t>
    </r>
    <r>
      <rPr>
        <b/>
        <sz val="11"/>
        <color theme="1"/>
        <rFont val="Arial"/>
        <family val="2"/>
      </rPr>
      <t>paste vào ô A1</t>
    </r>
    <r>
      <rPr>
        <sz val="11"/>
        <color theme="1"/>
        <rFont val="Arial"/>
        <family val="2"/>
      </rPr>
      <t xml:space="preserve"> để đảm bảo các file và các sheet có cùng định dạng về cột, dòng</t>
    </r>
    <r>
      <rPr>
        <b/>
        <sz val="11"/>
        <color theme="1"/>
        <rFont val="Arial"/>
        <family val="2"/>
      </rPr>
      <t xml:space="preserve">
      </t>
    </r>
    <r>
      <rPr>
        <sz val="11"/>
        <color theme="1"/>
        <rFont val="Arial"/>
        <family val="2"/>
      </rPr>
      <t xml:space="preserve">
</t>
    </r>
  </si>
  <si>
    <t>Lưu các file tên là Rp1, Rp2, Rp3,... trong thư mục ngày phiên tương ứng của Back up CQG Futures</t>
  </si>
  <si>
    <t>Thứ tự các sheet từ trái sang phải và tên các sheet sẽ là: OP-&gt;PS-&gt;AS</t>
  </si>
  <si>
    <r>
      <t xml:space="preserve">Note: 1. Tên file các ký tự đầu là Rp (Không có dấu cách hay khoảng trống trước chữ R), sau Rp là ký tự gì cũng được nhưng thống nhất để 1,2,3,..
          2. Tên sheet có thể sai chính tả nhưng </t>
    </r>
    <r>
      <rPr>
        <b/>
        <sz val="11"/>
        <color theme="1"/>
        <rFont val="Arial"/>
        <family val="2"/>
      </rPr>
      <t>thứ tự các sheet phải đúng</t>
    </r>
    <r>
      <rPr>
        <sz val="11"/>
        <color theme="1"/>
        <rFont val="Arial"/>
        <family val="2"/>
      </rPr>
      <t xml:space="preserve">
          3. Khi Copy-&gt;Paste từ CQG vào file, phải </t>
    </r>
    <r>
      <rPr>
        <b/>
        <sz val="11"/>
        <color theme="1"/>
        <rFont val="Arial"/>
        <family val="2"/>
      </rPr>
      <t>paste vào ô A1</t>
    </r>
    <r>
      <rPr>
        <sz val="11"/>
        <color theme="1"/>
        <rFont val="Arial"/>
        <family val="2"/>
      </rPr>
      <t xml:space="preserve"> để đảm bảo các file và sheet có cùng định dạng về cột dòng
          4. Riêng Tab OP, các trader </t>
    </r>
    <r>
      <rPr>
        <b/>
        <sz val="11"/>
        <color theme="1"/>
        <rFont val="Arial"/>
        <family val="2"/>
      </rPr>
      <t>đều phải cài đặt: Setup/Prefrence/Display Configuaration/Enable liquidate and reverse button</t>
    </r>
    <r>
      <rPr>
        <sz val="11"/>
        <color theme="1"/>
        <rFont val="Arial"/>
        <family val="2"/>
      </rPr>
      <t xml:space="preserve"> để đảm bảo các sheet OP của các trader có cùng định dạng cột</t>
    </r>
  </si>
  <si>
    <t>Back up file TTM, TTM.UAT vào các file back up tương ứng như thường lệ</t>
  </si>
  <si>
    <t>Xuất file bảng giá từ MS Product lưu vào thư mục tương ứng như thường lệ</t>
  </si>
  <si>
    <t>Chạy button "Ghép file GTT". FIle GTT sẽ lưu vào thư mục back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</si>
</sst>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Arial"/>
      <family val="2"/>
    </font>
    <font>
      <sz val="8"/>
      <name val="Arial"/>
      <family val="2"/>
    </font>
    <font>
      <b/>
      <sz val="11"/>
      <color theme="1"/>
      <name val="Arial"/>
      <family val="2"/>
    </font>
  </fonts>
  <fills count="7">
    <fill>
      <patternFill patternType="none"/>
    </fill>
    <fill>
      <patternFill patternType="gray125"/>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0" fontId="0" fillId="0" borderId="0" xfId="0" quotePrefix="1"/>
    <xf numFmtId="14" fontId="0" fillId="2" borderId="0" xfId="0" applyNumberFormat="1" applyFill="1"/>
    <xf numFmtId="0" fontId="2" fillId="3" borderId="0" xfId="0" applyFont="1" applyFill="1"/>
    <xf numFmtId="0" fontId="0" fillId="0" borderId="0" xfId="0" applyAlignment="1">
      <alignment wrapText="1"/>
    </xf>
    <xf numFmtId="0" fontId="0" fillId="0" borderId="0" xfId="0" applyAlignment="1">
      <alignment horizontal="left" vertical="top" wrapText="1"/>
    </xf>
    <xf numFmtId="14" fontId="0" fillId="0" borderId="0" xfId="0" applyNumberFormat="1"/>
    <xf numFmtId="0" fontId="0" fillId="5" borderId="1" xfId="0" applyFill="1" applyBorder="1" applyAlignment="1">
      <alignment horizontal="left"/>
    </xf>
    <xf numFmtId="0" fontId="0" fillId="5" borderId="1" xfId="0" applyFill="1" applyBorder="1" applyAlignment="1">
      <alignment horizontal="center" wrapText="1"/>
    </xf>
    <xf numFmtId="0" fontId="0" fillId="4" borderId="1" xfId="0" applyFill="1" applyBorder="1" applyAlignment="1">
      <alignment horizontal="left"/>
    </xf>
    <xf numFmtId="0" fontId="0" fillId="4" borderId="1" xfId="0" applyFill="1" applyBorder="1" applyAlignment="1">
      <alignment horizontal="left" wrapText="1"/>
    </xf>
    <xf numFmtId="0" fontId="0" fillId="5" borderId="1" xfId="0" applyFill="1" applyBorder="1" applyAlignment="1">
      <alignment horizontal="center"/>
    </xf>
    <xf numFmtId="0" fontId="0" fillId="0" borderId="0" xfId="0" applyAlignment="1">
      <alignment horizontal="left"/>
    </xf>
    <xf numFmtId="0" fontId="0" fillId="3" borderId="1" xfId="0" applyFill="1" applyBorder="1" applyAlignment="1">
      <alignment horizontal="left"/>
    </xf>
    <xf numFmtId="0" fontId="0" fillId="5" borderId="1" xfId="0" applyFill="1" applyBorder="1" applyAlignment="1">
      <alignment horizontal="left" vertical="top" wrapText="1"/>
    </xf>
    <xf numFmtId="0" fontId="0" fillId="6" borderId="1" xfId="0" applyFill="1" applyBorder="1" applyAlignment="1">
      <alignment horizontal="center"/>
    </xf>
    <xf numFmtId="0" fontId="0" fillId="6" borderId="1" xfId="0" applyFill="1" applyBorder="1" applyAlignment="1">
      <alignment horizontal="left"/>
    </xf>
    <xf numFmtId="0" fontId="0" fillId="6" borderId="1" xfId="0" applyFill="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587828</xdr:colOff>
      <xdr:row>2</xdr:row>
      <xdr:rowOff>141515</xdr:rowOff>
    </xdr:from>
    <xdr:to>
      <xdr:col>3</xdr:col>
      <xdr:colOff>54428</xdr:colOff>
      <xdr:row>5</xdr:row>
      <xdr:rowOff>163286</xdr:rowOff>
    </xdr:to>
    <xdr:sp macro="[0]!ghep_file_FR" textlink="">
      <xdr:nvSpPr>
        <xdr:cNvPr id="2" name="Rectangle: Rounded Corners 1">
          <a:extLst>
            <a:ext uri="{FF2B5EF4-FFF2-40B4-BE49-F238E27FC236}">
              <a16:creationId xmlns:a16="http://schemas.microsoft.com/office/drawing/2014/main" id="{2CD91156-1B42-441D-9301-F153CBC9EF02}"/>
            </a:ext>
          </a:extLst>
        </xdr:cNvPr>
        <xdr:cNvSpPr/>
      </xdr:nvSpPr>
      <xdr:spPr>
        <a:xfrm>
          <a:off x="1284514" y="500744"/>
          <a:ext cx="1627414" cy="560613"/>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Ghép</a:t>
          </a:r>
          <a:r>
            <a:rPr lang="en-US" sz="1400" baseline="0">
              <a:latin typeface="Arial" panose="020B0604020202020204" pitchFamily="34" charset="0"/>
              <a:cs typeface="Arial" panose="020B0604020202020204" pitchFamily="34" charset="0"/>
            </a:rPr>
            <a:t> file FR</a:t>
          </a:r>
          <a:endParaRPr lang="en-US" sz="1400">
            <a:latin typeface="Arial" panose="020B0604020202020204" pitchFamily="34" charset="0"/>
            <a:cs typeface="Arial" panose="020B0604020202020204" pitchFamily="34" charset="0"/>
          </a:endParaRPr>
        </a:p>
      </xdr:txBody>
    </xdr:sp>
    <xdr:clientData/>
  </xdr:twoCellAnchor>
  <xdr:twoCellAnchor>
    <xdr:from>
      <xdr:col>1</xdr:col>
      <xdr:colOff>587828</xdr:colOff>
      <xdr:row>10</xdr:row>
      <xdr:rowOff>239486</xdr:rowOff>
    </xdr:from>
    <xdr:to>
      <xdr:col>3</xdr:col>
      <xdr:colOff>54428</xdr:colOff>
      <xdr:row>13</xdr:row>
      <xdr:rowOff>43544</xdr:rowOff>
    </xdr:to>
    <xdr:sp macro="[0]!ghep_file_orders" textlink="">
      <xdr:nvSpPr>
        <xdr:cNvPr id="3" name="Rectangle: Rounded Corners 2">
          <a:extLst>
            <a:ext uri="{FF2B5EF4-FFF2-40B4-BE49-F238E27FC236}">
              <a16:creationId xmlns:a16="http://schemas.microsoft.com/office/drawing/2014/main" id="{FC8E5CCB-8800-498E-8152-CB1856DAC060}"/>
            </a:ext>
          </a:extLst>
        </xdr:cNvPr>
        <xdr:cNvSpPr/>
      </xdr:nvSpPr>
      <xdr:spPr>
        <a:xfrm>
          <a:off x="1284514" y="2144486"/>
          <a:ext cx="1627414" cy="560615"/>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Ghép</a:t>
          </a:r>
          <a:r>
            <a:rPr lang="en-US" sz="1400" baseline="0">
              <a:latin typeface="Arial" panose="020B0604020202020204" pitchFamily="34" charset="0"/>
              <a:cs typeface="Arial" panose="020B0604020202020204" pitchFamily="34" charset="0"/>
            </a:rPr>
            <a:t> file Orders</a:t>
          </a:r>
          <a:endParaRPr lang="en-US" sz="1400">
            <a:latin typeface="Arial" panose="020B0604020202020204" pitchFamily="34" charset="0"/>
            <a:cs typeface="Arial" panose="020B0604020202020204" pitchFamily="34" charset="0"/>
          </a:endParaRPr>
        </a:p>
      </xdr:txBody>
    </xdr:sp>
    <xdr:clientData/>
  </xdr:twoCellAnchor>
  <xdr:twoCellAnchor>
    <xdr:from>
      <xdr:col>1</xdr:col>
      <xdr:colOff>587828</xdr:colOff>
      <xdr:row>18</xdr:row>
      <xdr:rowOff>108856</xdr:rowOff>
    </xdr:from>
    <xdr:to>
      <xdr:col>3</xdr:col>
      <xdr:colOff>54428</xdr:colOff>
      <xdr:row>21</xdr:row>
      <xdr:rowOff>130630</xdr:rowOff>
    </xdr:to>
    <xdr:sp macro="[0]!ghep_file_AS" textlink="">
      <xdr:nvSpPr>
        <xdr:cNvPr id="4" name="Rectangle: Rounded Corners 3">
          <a:extLst>
            <a:ext uri="{FF2B5EF4-FFF2-40B4-BE49-F238E27FC236}">
              <a16:creationId xmlns:a16="http://schemas.microsoft.com/office/drawing/2014/main" id="{AE484369-7FF7-4344-8DC8-B420536B81D7}"/>
            </a:ext>
          </a:extLst>
        </xdr:cNvPr>
        <xdr:cNvSpPr/>
      </xdr:nvSpPr>
      <xdr:spPr>
        <a:xfrm>
          <a:off x="1284514" y="4011385"/>
          <a:ext cx="1627414" cy="560616"/>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Ghép</a:t>
          </a:r>
          <a:r>
            <a:rPr lang="en-US" sz="1400" baseline="0">
              <a:latin typeface="Arial" panose="020B0604020202020204" pitchFamily="34" charset="0"/>
              <a:cs typeface="Arial" panose="020B0604020202020204" pitchFamily="34" charset="0"/>
            </a:rPr>
            <a:t> file Reports</a:t>
          </a:r>
          <a:endParaRPr lang="en-US" sz="1400">
            <a:latin typeface="Arial" panose="020B0604020202020204" pitchFamily="34" charset="0"/>
            <a:cs typeface="Arial" panose="020B0604020202020204" pitchFamily="34" charset="0"/>
          </a:endParaRPr>
        </a:p>
      </xdr:txBody>
    </xdr:sp>
    <xdr:clientData/>
  </xdr:twoCellAnchor>
  <xdr:twoCellAnchor>
    <xdr:from>
      <xdr:col>1</xdr:col>
      <xdr:colOff>587828</xdr:colOff>
      <xdr:row>26</xdr:row>
      <xdr:rowOff>136071</xdr:rowOff>
    </xdr:from>
    <xdr:to>
      <xdr:col>3</xdr:col>
      <xdr:colOff>54428</xdr:colOff>
      <xdr:row>29</xdr:row>
      <xdr:rowOff>157842</xdr:rowOff>
    </xdr:to>
    <xdr:sp macro="[0]!ghep_file_GTT" textlink="">
      <xdr:nvSpPr>
        <xdr:cNvPr id="5" name="Rectangle: Rounded Corners 4">
          <a:extLst>
            <a:ext uri="{FF2B5EF4-FFF2-40B4-BE49-F238E27FC236}">
              <a16:creationId xmlns:a16="http://schemas.microsoft.com/office/drawing/2014/main" id="{37D5229E-68EC-439A-93E0-85E73D630C15}"/>
            </a:ext>
          </a:extLst>
        </xdr:cNvPr>
        <xdr:cNvSpPr/>
      </xdr:nvSpPr>
      <xdr:spPr>
        <a:xfrm>
          <a:off x="1284514" y="5475514"/>
          <a:ext cx="1627414" cy="560614"/>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Ghép</a:t>
          </a:r>
          <a:r>
            <a:rPr lang="en-US" sz="1400" baseline="0">
              <a:latin typeface="Arial" panose="020B0604020202020204" pitchFamily="34" charset="0"/>
              <a:cs typeface="Arial" panose="020B0604020202020204" pitchFamily="34" charset="0"/>
            </a:rPr>
            <a:t> file GTT</a:t>
          </a:r>
          <a:endParaRPr lang="en-US" sz="1400">
            <a:latin typeface="Arial" panose="020B0604020202020204" pitchFamily="34" charset="0"/>
            <a:cs typeface="Arial" panose="020B0604020202020204" pitchFamily="34" charset="0"/>
          </a:endParaRPr>
        </a:p>
      </xdr:txBody>
    </xdr:sp>
    <xdr:clientData/>
  </xdr:twoCellAnchor>
  <xdr:twoCellAnchor>
    <xdr:from>
      <xdr:col>13</xdr:col>
      <xdr:colOff>303439</xdr:colOff>
      <xdr:row>9</xdr:row>
      <xdr:rowOff>136071</xdr:rowOff>
    </xdr:from>
    <xdr:to>
      <xdr:col>17</xdr:col>
      <xdr:colOff>295275</xdr:colOff>
      <xdr:row>15</xdr:row>
      <xdr:rowOff>66675</xdr:rowOff>
    </xdr:to>
    <xdr:sp macro="[0]!ghep_file_CQG" textlink="">
      <xdr:nvSpPr>
        <xdr:cNvPr id="6" name="Rectangle: Rounded Corners 5">
          <a:extLst>
            <a:ext uri="{FF2B5EF4-FFF2-40B4-BE49-F238E27FC236}">
              <a16:creationId xmlns:a16="http://schemas.microsoft.com/office/drawing/2014/main" id="{02B89B7E-25AF-4DE1-ABF4-5BDEFF29034E}"/>
            </a:ext>
          </a:extLst>
        </xdr:cNvPr>
        <xdr:cNvSpPr/>
      </xdr:nvSpPr>
      <xdr:spPr>
        <a:xfrm>
          <a:off x="11781064" y="1879146"/>
          <a:ext cx="2735036" cy="147365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Ghép</a:t>
          </a:r>
          <a:r>
            <a:rPr lang="en-US" sz="2000" baseline="0">
              <a:latin typeface="Arial" panose="020B0604020202020204" pitchFamily="34" charset="0"/>
              <a:cs typeface="Arial" panose="020B0604020202020204" pitchFamily="34" charset="0"/>
            </a:rPr>
            <a:t> file CQG</a:t>
          </a:r>
          <a:endParaRPr lang="en-US" sz="2000">
            <a:latin typeface="Arial" panose="020B0604020202020204" pitchFamily="34" charset="0"/>
            <a:cs typeface="Arial" panose="020B0604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C22FF-427F-4DF2-AD19-9CF941A2B7D0}">
  <sheetPr codeName="Sheet1"/>
  <dimension ref="A1:I101"/>
  <sheetViews>
    <sheetView workbookViewId="0">
      <selection activeCell="A12" sqref="A12"/>
    </sheetView>
  </sheetViews>
  <sheetFormatPr defaultRowHeight="14.25"/>
  <cols>
    <col min="1" max="1" width="9.875" bestFit="1" customWidth="1"/>
    <col min="8" max="8" width="19.5" customWidth="1"/>
  </cols>
  <sheetData>
    <row r="1" spans="1:9">
      <c r="A1" t="str">
        <f ca="1">A8&amp;YEAR(A9)&amp;"\T"&amp;TEXT(A9,"mm.yyyy")&amp;"\"&amp;TEXT(A9,"dd.mm")&amp;"\TTM.xlsx"</f>
        <v>M:\Quanlygiaodich\Tai lieu hoat dong\Backup MS\Futures\2026\T07.2026\02.07\TTM.xlsx</v>
      </c>
      <c r="I1" t="s">
        <v>0</v>
      </c>
    </row>
    <row r="2" spans="1:9">
      <c r="A2" t="str">
        <f ca="1">A10&amp;YEAR(A9)&amp;"\T"&amp;TEXT(A9,"mm.yyyy")&amp;"\"&amp;TEXT(A9,"dd.mm")&amp;"\TTM.UAT.xlsx"</f>
        <v>M:\Quanlygiaodich\Tai lieu hoat dong\Backup MS\Spread\2026\T07.2026\02.07\TTM.UAT.xlsx</v>
      </c>
      <c r="I2" s="1" t="s">
        <v>1</v>
      </c>
    </row>
    <row r="3" spans="1:9">
      <c r="A3" t="str">
        <f ca="1">A8&amp;YEAR(A9)&amp;"\T"&amp;TEXT(A9,"mm.yyyy")&amp;"\"&amp;TEXT(A9,"dd.mm")&amp;"\market.csv"</f>
        <v>M:\Quanlygiaodich\Tai lieu hoat dong\Backup MS\Futures\2026\T07.2026\02.07\market.csv</v>
      </c>
      <c r="I3" s="1" t="s">
        <v>2</v>
      </c>
    </row>
    <row r="4" spans="1:9">
      <c r="A4" t="str">
        <f ca="1">A8&amp;YEAR(A9)&amp;"\T"&amp;TEXT(A9,"mm.yyyy")&amp;"\"&amp;TEXT(A9,"dd.mm")&amp;"\GTT.xlsx"</f>
        <v>M:\Quanlygiaodich\Tai lieu hoat dong\Backup MS\Futures\2026\T07.2026\02.07\GTT.xlsx</v>
      </c>
      <c r="I4" s="1" t="s">
        <v>3</v>
      </c>
    </row>
    <row r="5" spans="1:9">
      <c r="A5" t="str">
        <f ca="1">A11&amp;YEAR(A9)&amp;"\T"&amp;TEXT(A9,"mm.yyyy")&amp;"\"&amp;TEXT(A9,"dd.mm")&amp;"\FR.xlsx"</f>
        <v>M:\Quanlygiaodich\Tai lieu hoat dong\Backup CQG\Futures\2026\T07.2026\02.07\FR.xlsx</v>
      </c>
      <c r="I5" s="1" t="s">
        <v>4</v>
      </c>
    </row>
    <row r="6" spans="1:9">
      <c r="A6" t="str">
        <f ca="1">A11&amp;YEAR(A9)&amp;"\T"&amp;TEXT(A9,"mm.yyyy")&amp;"\"&amp;TEXT(A9,"dd.mm")&amp;"\Orders.xlsx"</f>
        <v>M:\Quanlygiaodich\Tai lieu hoat dong\Backup CQG\Futures\2026\T07.2026\02.07\Orders.xlsx</v>
      </c>
      <c r="I6" s="1" t="s">
        <v>5</v>
      </c>
    </row>
    <row r="7" spans="1:9">
      <c r="A7" t="str">
        <f ca="1">A11&amp;YEAR(A9)&amp;"\T"&amp;TEXT(A9,"mm.yyyy")&amp;"\"&amp;TEXT(A9,"dd.mm")&amp;"\Reports.xlsx"</f>
        <v>M:\Quanlygiaodich\Tai lieu hoat dong\Backup CQG\Futures\2026\T07.2026\02.07\Reports.xlsx</v>
      </c>
      <c r="I7" s="1" t="s">
        <v>6</v>
      </c>
    </row>
    <row r="8" spans="1:9">
      <c r="A8" t="s">
        <v>7</v>
      </c>
      <c r="I8" s="1" t="s">
        <v>8</v>
      </c>
    </row>
    <row r="9" spans="1:9">
      <c r="A9" s="6">
        <f ca="1">Marco!C2</f>
        <v>46205</v>
      </c>
      <c r="I9" s="1" t="s">
        <v>9</v>
      </c>
    </row>
    <row r="10" spans="1:9">
      <c r="A10" t="s">
        <v>10</v>
      </c>
      <c r="I10" s="1" t="s">
        <v>11</v>
      </c>
    </row>
    <row r="11" spans="1:9">
      <c r="A11" t="s">
        <v>12</v>
      </c>
      <c r="I11" s="1" t="s">
        <v>13</v>
      </c>
    </row>
    <row r="12" spans="1:9">
      <c r="A12" t="str">
        <f ca="1">A11&amp;YEAR(A9)&amp;"\T"&amp;TEXT(A9,"mm.yyyy")&amp;"\"&amp;TEXT(A9,"dd.mm")&amp;"\"</f>
        <v>M:\Quanlygiaodich\Tai lieu hoat dong\Backup CQG\Futures\2026\T07.2026\02.07\</v>
      </c>
      <c r="I12" s="1" t="s">
        <v>14</v>
      </c>
    </row>
    <row r="13" spans="1:9">
      <c r="I13" s="1" t="s">
        <v>15</v>
      </c>
    </row>
    <row r="14" spans="1:9">
      <c r="I14" s="1" t="s">
        <v>16</v>
      </c>
    </row>
    <row r="15" spans="1:9">
      <c r="I15" s="1" t="s">
        <v>17</v>
      </c>
    </row>
    <row r="16" spans="1:9">
      <c r="I16" s="1" t="s">
        <v>18</v>
      </c>
    </row>
    <row r="17" spans="9:9">
      <c r="I17" s="1" t="s">
        <v>19</v>
      </c>
    </row>
    <row r="18" spans="9:9">
      <c r="I18" s="1" t="s">
        <v>20</v>
      </c>
    </row>
    <row r="19" spans="9:9">
      <c r="I19" s="1" t="s">
        <v>21</v>
      </c>
    </row>
    <row r="20" spans="9:9">
      <c r="I20" s="1" t="s">
        <v>22</v>
      </c>
    </row>
    <row r="21" spans="9:9">
      <c r="I21" s="1" t="s">
        <v>23</v>
      </c>
    </row>
    <row r="22" spans="9:9">
      <c r="I22" s="1" t="s">
        <v>24</v>
      </c>
    </row>
    <row r="23" spans="9:9">
      <c r="I23" s="1" t="s">
        <v>25</v>
      </c>
    </row>
    <row r="24" spans="9:9">
      <c r="I24" s="1" t="s">
        <v>26</v>
      </c>
    </row>
    <row r="25" spans="9:9">
      <c r="I25" s="1" t="s">
        <v>27</v>
      </c>
    </row>
    <row r="26" spans="9:9">
      <c r="I26" s="1" t="s">
        <v>28</v>
      </c>
    </row>
    <row r="27" spans="9:9">
      <c r="I27" s="1" t="s">
        <v>29</v>
      </c>
    </row>
    <row r="28" spans="9:9">
      <c r="I28" s="1" t="s">
        <v>30</v>
      </c>
    </row>
    <row r="29" spans="9:9">
      <c r="I29" s="1" t="s">
        <v>31</v>
      </c>
    </row>
    <row r="30" spans="9:9">
      <c r="I30" s="1" t="s">
        <v>32</v>
      </c>
    </row>
    <row r="31" spans="9:9">
      <c r="I31" s="1" t="s">
        <v>33</v>
      </c>
    </row>
    <row r="32" spans="9:9">
      <c r="I32" s="1" t="s">
        <v>34</v>
      </c>
    </row>
    <row r="33" spans="9:9">
      <c r="I33" s="1" t="s">
        <v>35</v>
      </c>
    </row>
    <row r="34" spans="9:9">
      <c r="I34" s="1" t="s">
        <v>36</v>
      </c>
    </row>
    <row r="35" spans="9:9">
      <c r="I35" s="1" t="s">
        <v>37</v>
      </c>
    </row>
    <row r="36" spans="9:9">
      <c r="I36" s="1" t="s">
        <v>38</v>
      </c>
    </row>
    <row r="37" spans="9:9">
      <c r="I37" s="1" t="s">
        <v>39</v>
      </c>
    </row>
    <row r="38" spans="9:9">
      <c r="I38" s="1" t="s">
        <v>40</v>
      </c>
    </row>
    <row r="39" spans="9:9">
      <c r="I39" s="1" t="s">
        <v>41</v>
      </c>
    </row>
    <row r="40" spans="9:9">
      <c r="I40" s="1" t="s">
        <v>42</v>
      </c>
    </row>
    <row r="41" spans="9:9">
      <c r="I41" s="1" t="s">
        <v>43</v>
      </c>
    </row>
    <row r="42" spans="9:9">
      <c r="I42" s="1" t="s">
        <v>44</v>
      </c>
    </row>
    <row r="43" spans="9:9">
      <c r="I43" s="1" t="s">
        <v>45</v>
      </c>
    </row>
    <row r="44" spans="9:9">
      <c r="I44" s="1" t="s">
        <v>46</v>
      </c>
    </row>
    <row r="45" spans="9:9">
      <c r="I45" s="1" t="s">
        <v>47</v>
      </c>
    </row>
    <row r="46" spans="9:9">
      <c r="I46" s="1" t="s">
        <v>48</v>
      </c>
    </row>
    <row r="47" spans="9:9">
      <c r="I47" s="1" t="s">
        <v>49</v>
      </c>
    </row>
    <row r="48" spans="9:9">
      <c r="I48" s="1" t="s">
        <v>50</v>
      </c>
    </row>
    <row r="49" spans="9:9">
      <c r="I49" s="1" t="s">
        <v>51</v>
      </c>
    </row>
    <row r="50" spans="9:9">
      <c r="I50" s="1" t="s">
        <v>52</v>
      </c>
    </row>
    <row r="51" spans="9:9">
      <c r="I51" s="1" t="s">
        <v>53</v>
      </c>
    </row>
    <row r="52" spans="9:9">
      <c r="I52" s="1" t="s">
        <v>54</v>
      </c>
    </row>
    <row r="53" spans="9:9">
      <c r="I53" s="1" t="s">
        <v>55</v>
      </c>
    </row>
    <row r="54" spans="9:9">
      <c r="I54" s="1" t="s">
        <v>56</v>
      </c>
    </row>
    <row r="55" spans="9:9">
      <c r="I55" s="1" t="s">
        <v>57</v>
      </c>
    </row>
    <row r="56" spans="9:9">
      <c r="I56" s="1" t="s">
        <v>58</v>
      </c>
    </row>
    <row r="57" spans="9:9">
      <c r="I57" s="1" t="s">
        <v>59</v>
      </c>
    </row>
    <row r="58" spans="9:9">
      <c r="I58" s="1" t="s">
        <v>60</v>
      </c>
    </row>
    <row r="59" spans="9:9">
      <c r="I59" s="1" t="s">
        <v>61</v>
      </c>
    </row>
    <row r="60" spans="9:9">
      <c r="I60" s="1" t="s">
        <v>62</v>
      </c>
    </row>
    <row r="61" spans="9:9">
      <c r="I61" s="1" t="s">
        <v>63</v>
      </c>
    </row>
    <row r="62" spans="9:9">
      <c r="I62" s="1" t="s">
        <v>64</v>
      </c>
    </row>
    <row r="63" spans="9:9">
      <c r="I63" s="1" t="s">
        <v>65</v>
      </c>
    </row>
    <row r="64" spans="9:9">
      <c r="I64" s="1" t="s">
        <v>66</v>
      </c>
    </row>
    <row r="65" spans="9:9">
      <c r="I65" s="1" t="s">
        <v>67</v>
      </c>
    </row>
    <row r="66" spans="9:9">
      <c r="I66" s="1" t="s">
        <v>68</v>
      </c>
    </row>
    <row r="67" spans="9:9">
      <c r="I67" s="1" t="s">
        <v>69</v>
      </c>
    </row>
    <row r="68" spans="9:9">
      <c r="I68" s="1" t="s">
        <v>70</v>
      </c>
    </row>
    <row r="69" spans="9:9">
      <c r="I69" s="1" t="s">
        <v>71</v>
      </c>
    </row>
    <row r="70" spans="9:9">
      <c r="I70" s="1" t="s">
        <v>72</v>
      </c>
    </row>
    <row r="71" spans="9:9">
      <c r="I71" s="1" t="s">
        <v>73</v>
      </c>
    </row>
    <row r="72" spans="9:9">
      <c r="I72" s="1" t="s">
        <v>74</v>
      </c>
    </row>
    <row r="73" spans="9:9">
      <c r="I73" s="1" t="s">
        <v>75</v>
      </c>
    </row>
    <row r="74" spans="9:9">
      <c r="I74" s="1" t="s">
        <v>76</v>
      </c>
    </row>
    <row r="75" spans="9:9">
      <c r="I75" s="1" t="s">
        <v>77</v>
      </c>
    </row>
    <row r="76" spans="9:9">
      <c r="I76" s="1" t="s">
        <v>78</v>
      </c>
    </row>
    <row r="77" spans="9:9">
      <c r="I77" s="1" t="s">
        <v>79</v>
      </c>
    </row>
    <row r="78" spans="9:9">
      <c r="I78" s="1" t="s">
        <v>80</v>
      </c>
    </row>
    <row r="79" spans="9:9">
      <c r="I79" s="1" t="s">
        <v>81</v>
      </c>
    </row>
    <row r="80" spans="9:9">
      <c r="I80" s="1" t="s">
        <v>82</v>
      </c>
    </row>
    <row r="81" spans="9:9">
      <c r="I81" s="1" t="s">
        <v>83</v>
      </c>
    </row>
    <row r="82" spans="9:9">
      <c r="I82" s="1" t="s">
        <v>84</v>
      </c>
    </row>
    <row r="83" spans="9:9">
      <c r="I83" s="1" t="s">
        <v>85</v>
      </c>
    </row>
    <row r="84" spans="9:9">
      <c r="I84" s="1" t="s">
        <v>86</v>
      </c>
    </row>
    <row r="85" spans="9:9">
      <c r="I85" s="1" t="s">
        <v>87</v>
      </c>
    </row>
    <row r="86" spans="9:9">
      <c r="I86" s="1" t="s">
        <v>88</v>
      </c>
    </row>
    <row r="87" spans="9:9">
      <c r="I87" s="1" t="s">
        <v>89</v>
      </c>
    </row>
    <row r="88" spans="9:9">
      <c r="I88" s="1" t="s">
        <v>90</v>
      </c>
    </row>
    <row r="89" spans="9:9">
      <c r="I89" s="1" t="s">
        <v>91</v>
      </c>
    </row>
    <row r="90" spans="9:9">
      <c r="I90" s="1" t="s">
        <v>92</v>
      </c>
    </row>
    <row r="91" spans="9:9">
      <c r="I91" s="1" t="s">
        <v>93</v>
      </c>
    </row>
    <row r="92" spans="9:9">
      <c r="I92" s="1" t="s">
        <v>94</v>
      </c>
    </row>
    <row r="93" spans="9:9">
      <c r="I93" s="1" t="s">
        <v>95</v>
      </c>
    </row>
    <row r="94" spans="9:9">
      <c r="I94" s="1" t="s">
        <v>96</v>
      </c>
    </row>
    <row r="95" spans="9:9">
      <c r="I95" s="1" t="s">
        <v>97</v>
      </c>
    </row>
    <row r="96" spans="9:9">
      <c r="I96" s="1" t="s">
        <v>98</v>
      </c>
    </row>
    <row r="97" spans="9:9">
      <c r="I97" s="1" t="s">
        <v>99</v>
      </c>
    </row>
    <row r="98" spans="9:9">
      <c r="I98" s="1" t="s">
        <v>100</v>
      </c>
    </row>
    <row r="99" spans="9:9">
      <c r="I99" s="1" t="s">
        <v>101</v>
      </c>
    </row>
    <row r="100" spans="9:9">
      <c r="I100" s="1" t="s">
        <v>102</v>
      </c>
    </row>
    <row r="101" spans="9:9">
      <c r="I101" s="1" t="s">
        <v>103</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6A7FB-FDB8-4B20-A96D-413C9FCB1B96}">
  <sheetPr codeName="Sheet2"/>
  <dimension ref="A1:K4"/>
  <sheetViews>
    <sheetView workbookViewId="0">
      <selection activeCell="A12" sqref="A12"/>
    </sheetView>
  </sheetViews>
  <sheetFormatPr defaultRowHeight="14.25"/>
  <sheetData>
    <row r="1" spans="1:11">
      <c r="A1" t="str">
        <f ca="1">"Fills Reported as of "&amp;TEXT(NOW(),"mm/dd/yyyy hh:mm:ss")</f>
        <v>Fills Reported as of 07/03/2026 16:52:28</v>
      </c>
    </row>
    <row r="2" spans="1:11">
      <c r="A2" t="s">
        <v>104</v>
      </c>
      <c r="B2" t="s">
        <v>105</v>
      </c>
      <c r="C2" t="s">
        <v>106</v>
      </c>
      <c r="D2" t="s">
        <v>107</v>
      </c>
      <c r="E2" t="s">
        <v>108</v>
      </c>
      <c r="F2" t="s">
        <v>109</v>
      </c>
      <c r="G2" t="s">
        <v>110</v>
      </c>
      <c r="H2" t="s">
        <v>111</v>
      </c>
      <c r="I2" t="s">
        <v>112</v>
      </c>
      <c r="J2" t="s">
        <v>113</v>
      </c>
      <c r="K2" t="s">
        <v>114</v>
      </c>
    </row>
    <row r="4" spans="1:11">
      <c r="A4" t="s">
        <v>115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C8982-530B-442E-BC52-C4EDC781B95F}">
  <sheetPr codeName="Sheet3"/>
  <dimension ref="D1:Y5"/>
  <sheetViews>
    <sheetView workbookViewId="0">
      <selection activeCell="A12" sqref="A12"/>
    </sheetView>
  </sheetViews>
  <sheetFormatPr defaultRowHeight="14.25"/>
  <sheetData>
    <row r="1" spans="4:25">
      <c r="H1" t="s">
        <v>116</v>
      </c>
      <c r="I1" t="s">
        <v>117</v>
      </c>
      <c r="J1" t="s">
        <v>118</v>
      </c>
      <c r="K1" t="s">
        <v>119</v>
      </c>
      <c r="L1" t="s">
        <v>111</v>
      </c>
      <c r="M1" t="s">
        <v>120</v>
      </c>
      <c r="N1" t="s">
        <v>121</v>
      </c>
      <c r="O1" t="s">
        <v>122</v>
      </c>
      <c r="P1" t="s">
        <v>123</v>
      </c>
      <c r="Q1" t="s">
        <v>124</v>
      </c>
      <c r="R1" t="s">
        <v>125</v>
      </c>
      <c r="S1" t="s">
        <v>126</v>
      </c>
      <c r="T1" t="s">
        <v>127</v>
      </c>
      <c r="U1" t="s">
        <v>128</v>
      </c>
      <c r="V1" t="s">
        <v>129</v>
      </c>
      <c r="W1" t="s">
        <v>130</v>
      </c>
      <c r="X1" t="s">
        <v>131</v>
      </c>
      <c r="Y1" t="s">
        <v>132</v>
      </c>
    </row>
    <row r="2" spans="4:25">
      <c r="G2" t="s">
        <v>116</v>
      </c>
      <c r="H2" t="s">
        <v>117</v>
      </c>
      <c r="I2" t="s">
        <v>118</v>
      </c>
      <c r="J2" t="s">
        <v>119</v>
      </c>
      <c r="K2" t="s">
        <v>111</v>
      </c>
      <c r="L2" t="s">
        <v>120</v>
      </c>
      <c r="M2" t="s">
        <v>121</v>
      </c>
      <c r="N2" t="s">
        <v>122</v>
      </c>
      <c r="O2" t="s">
        <v>123</v>
      </c>
      <c r="P2" t="s">
        <v>124</v>
      </c>
      <c r="Q2" t="s">
        <v>125</v>
      </c>
      <c r="R2" t="s">
        <v>126</v>
      </c>
      <c r="S2" t="s">
        <v>127</v>
      </c>
      <c r="T2" t="s">
        <v>128</v>
      </c>
      <c r="U2" t="s">
        <v>129</v>
      </c>
      <c r="V2" t="s">
        <v>130</v>
      </c>
      <c r="W2" t="s">
        <v>131</v>
      </c>
      <c r="X2" t="s">
        <v>132</v>
      </c>
      <c r="Y2" t="s">
        <v>113</v>
      </c>
    </row>
    <row r="3" spans="4:25">
      <c r="E3" t="s">
        <v>116</v>
      </c>
      <c r="F3" t="s">
        <v>117</v>
      </c>
      <c r="G3" t="s">
        <v>118</v>
      </c>
      <c r="H3" t="s">
        <v>119</v>
      </c>
      <c r="I3" t="s">
        <v>111</v>
      </c>
      <c r="J3" t="s">
        <v>120</v>
      </c>
      <c r="K3" t="s">
        <v>121</v>
      </c>
      <c r="L3" t="s">
        <v>122</v>
      </c>
      <c r="M3" t="s">
        <v>133</v>
      </c>
      <c r="N3" t="s">
        <v>124</v>
      </c>
      <c r="O3" t="s">
        <v>125</v>
      </c>
      <c r="P3" t="s">
        <v>126</v>
      </c>
      <c r="Q3" t="s">
        <v>127</v>
      </c>
      <c r="R3" t="s">
        <v>128</v>
      </c>
      <c r="S3" t="s">
        <v>129</v>
      </c>
      <c r="T3" t="s">
        <v>130</v>
      </c>
      <c r="U3" t="s">
        <v>131</v>
      </c>
      <c r="V3" t="s">
        <v>132</v>
      </c>
    </row>
    <row r="4" spans="4:25">
      <c r="D4" t="s">
        <v>116</v>
      </c>
      <c r="E4" t="s">
        <v>117</v>
      </c>
      <c r="F4" t="s">
        <v>118</v>
      </c>
      <c r="G4" t="s">
        <v>119</v>
      </c>
      <c r="H4" t="s">
        <v>111</v>
      </c>
      <c r="I4" t="s">
        <v>120</v>
      </c>
      <c r="J4" t="s">
        <v>121</v>
      </c>
      <c r="K4" t="s">
        <v>122</v>
      </c>
      <c r="L4" t="s">
        <v>123</v>
      </c>
      <c r="M4" t="s">
        <v>124</v>
      </c>
      <c r="N4" t="s">
        <v>125</v>
      </c>
      <c r="O4" t="s">
        <v>126</v>
      </c>
      <c r="P4" t="s">
        <v>127</v>
      </c>
      <c r="Q4" t="s">
        <v>128</v>
      </c>
      <c r="R4" t="s">
        <v>129</v>
      </c>
      <c r="S4" t="s">
        <v>130</v>
      </c>
      <c r="T4" t="s">
        <v>131</v>
      </c>
      <c r="U4" t="s">
        <v>132</v>
      </c>
      <c r="V4" t="s">
        <v>134</v>
      </c>
    </row>
    <row r="5" spans="4:25">
      <c r="F5" t="s">
        <v>116</v>
      </c>
      <c r="G5" t="s">
        <v>117</v>
      </c>
      <c r="H5" t="s">
        <v>118</v>
      </c>
      <c r="I5" t="s">
        <v>119</v>
      </c>
      <c r="J5" t="s">
        <v>111</v>
      </c>
      <c r="K5" t="s">
        <v>120</v>
      </c>
      <c r="L5" t="s">
        <v>121</v>
      </c>
      <c r="M5" t="s">
        <v>122</v>
      </c>
      <c r="N5" t="s">
        <v>123</v>
      </c>
      <c r="O5" t="s">
        <v>124</v>
      </c>
      <c r="P5" t="s">
        <v>125</v>
      </c>
      <c r="Q5" t="s">
        <v>126</v>
      </c>
      <c r="R5" t="s">
        <v>127</v>
      </c>
      <c r="S5" t="s">
        <v>128</v>
      </c>
      <c r="T5" t="s">
        <v>129</v>
      </c>
      <c r="U5" t="s">
        <v>130</v>
      </c>
      <c r="V5" t="s">
        <v>131</v>
      </c>
      <c r="W5" t="s">
        <v>132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5625E-E04F-44F4-A992-13FF8601F9FC}">
  <sheetPr codeName="Sheet4"/>
  <dimension ref="A1:A5"/>
  <sheetViews>
    <sheetView workbookViewId="0">
      <selection activeCell="A12" sqref="A12"/>
    </sheetView>
  </sheetViews>
  <sheetFormatPr defaultRowHeight="14.25"/>
  <cols>
    <col min="1" max="1" width="9.75" bestFit="1" customWidth="1"/>
  </cols>
  <sheetData>
    <row r="1" spans="1:1">
      <c r="A1" t="s">
        <v>135</v>
      </c>
    </row>
    <row r="2" spans="1:1">
      <c r="A2" t="s">
        <v>126</v>
      </c>
    </row>
    <row r="3" spans="1:1">
      <c r="A3" t="s">
        <v>136</v>
      </c>
    </row>
    <row r="4" spans="1:1">
      <c r="A4" t="s">
        <v>137</v>
      </c>
    </row>
    <row r="5" spans="1:1">
      <c r="A5" t="s">
        <v>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6FEED-9784-4FA1-90FF-DB4980F530E2}">
  <sheetPr codeName="Sheet5"/>
  <dimension ref="A1:A3"/>
  <sheetViews>
    <sheetView workbookViewId="0">
      <selection activeCell="A12" sqref="A12"/>
    </sheetView>
  </sheetViews>
  <sheetFormatPr defaultRowHeight="14.25"/>
  <sheetData>
    <row r="1" spans="1:1">
      <c r="A1" t="s">
        <v>139</v>
      </c>
    </row>
    <row r="2" spans="1:1">
      <c r="A2" t="s">
        <v>140</v>
      </c>
    </row>
    <row r="3" spans="1:1">
      <c r="A3" t="s">
        <v>141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27F70-E1A9-4388-86C5-65C9ECFA1F59}">
  <sheetPr codeName="Sheet6"/>
  <dimension ref="C1:P3"/>
  <sheetViews>
    <sheetView workbookViewId="0">
      <selection activeCell="A12" sqref="A12"/>
    </sheetView>
  </sheetViews>
  <sheetFormatPr defaultRowHeight="14.25"/>
  <sheetData>
    <row r="1" spans="3:16">
      <c r="F1" t="s">
        <v>142</v>
      </c>
      <c r="G1" t="s">
        <v>118</v>
      </c>
      <c r="H1" t="s">
        <v>143</v>
      </c>
      <c r="I1" t="s">
        <v>144</v>
      </c>
      <c r="J1" t="s">
        <v>145</v>
      </c>
      <c r="K1" t="s">
        <v>146</v>
      </c>
      <c r="L1" t="s">
        <v>147</v>
      </c>
      <c r="M1" t="s">
        <v>148</v>
      </c>
      <c r="N1" t="s">
        <v>149</v>
      </c>
      <c r="O1" t="s">
        <v>150</v>
      </c>
      <c r="P1" t="s">
        <v>151</v>
      </c>
    </row>
    <row r="2" spans="3:16">
      <c r="D2" t="s">
        <v>142</v>
      </c>
      <c r="E2" t="s">
        <v>118</v>
      </c>
      <c r="F2" t="s">
        <v>143</v>
      </c>
      <c r="G2" t="s">
        <v>144</v>
      </c>
      <c r="H2" t="s">
        <v>145</v>
      </c>
      <c r="I2" t="s">
        <v>146</v>
      </c>
      <c r="J2" t="s">
        <v>152</v>
      </c>
      <c r="K2" t="s">
        <v>150</v>
      </c>
    </row>
    <row r="3" spans="3:16">
      <c r="C3" t="s">
        <v>150</v>
      </c>
      <c r="D3" t="s">
        <v>145</v>
      </c>
      <c r="E3" t="s">
        <v>153</v>
      </c>
      <c r="F3" t="s">
        <v>147</v>
      </c>
      <c r="G3" t="s">
        <v>152</v>
      </c>
      <c r="H3" t="s">
        <v>154</v>
      </c>
      <c r="I3" t="s">
        <v>155</v>
      </c>
      <c r="J3" t="s">
        <v>156</v>
      </c>
      <c r="K3" t="s">
        <v>157</v>
      </c>
      <c r="L3" t="s">
        <v>149</v>
      </c>
      <c r="M3" t="s">
        <v>148</v>
      </c>
      <c r="N3" t="s">
        <v>158</v>
      </c>
      <c r="O3" t="s">
        <v>159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46015-9371-4134-9DFF-65C1390A8827}">
  <sheetPr codeName="Sheet7"/>
  <dimension ref="B2:L30"/>
  <sheetViews>
    <sheetView tabSelected="1" workbookViewId="0">
      <selection activeCell="M7" sqref="M7"/>
    </sheetView>
  </sheetViews>
  <sheetFormatPr defaultRowHeight="14.25"/>
  <cols>
    <col min="2" max="2" width="19.25" bestFit="1" customWidth="1"/>
    <col min="3" max="3" width="12" customWidth="1"/>
    <col min="4" max="4" width="7.25" customWidth="1"/>
    <col min="12" max="12" width="31.125" customWidth="1"/>
  </cols>
  <sheetData>
    <row r="2" spans="2:12" ht="15">
      <c r="B2" s="3" t="s">
        <v>160</v>
      </c>
      <c r="C2" s="2">
        <f ca="1">WORKDAY(TODAY(),-1)</f>
        <v>46205</v>
      </c>
    </row>
    <row r="3" spans="2:12">
      <c r="E3" s="9" t="s">
        <v>161</v>
      </c>
      <c r="F3" s="9"/>
      <c r="G3" s="9"/>
      <c r="H3" s="9"/>
      <c r="I3" s="9"/>
      <c r="J3" s="9"/>
      <c r="K3" s="9"/>
      <c r="L3" s="9"/>
    </row>
    <row r="4" spans="2:12">
      <c r="E4" s="9" t="s">
        <v>162</v>
      </c>
      <c r="F4" s="9"/>
      <c r="G4" s="9"/>
      <c r="H4" s="9"/>
      <c r="I4" s="9"/>
      <c r="J4" s="9"/>
      <c r="K4" s="9"/>
      <c r="L4" s="9"/>
    </row>
    <row r="5" spans="2:12">
      <c r="E5" s="10" t="s">
        <v>163</v>
      </c>
      <c r="F5" s="10"/>
      <c r="G5" s="10"/>
      <c r="H5" s="10"/>
      <c r="I5" s="10"/>
      <c r="J5" s="10"/>
      <c r="K5" s="10"/>
      <c r="L5" s="10"/>
    </row>
    <row r="6" spans="2:12" ht="22.7" customHeight="1">
      <c r="E6" s="10"/>
      <c r="F6" s="10"/>
      <c r="G6" s="10"/>
      <c r="H6" s="10"/>
      <c r="I6" s="10"/>
      <c r="J6" s="10"/>
      <c r="K6" s="10"/>
      <c r="L6" s="10"/>
    </row>
    <row r="7" spans="2:12">
      <c r="E7" s="4"/>
      <c r="F7" s="4"/>
      <c r="G7" s="4"/>
      <c r="H7" s="4"/>
      <c r="I7" s="4"/>
      <c r="J7" s="4"/>
      <c r="K7" s="4"/>
      <c r="L7" s="4"/>
    </row>
    <row r="8" spans="2:12">
      <c r="E8" s="11" t="s">
        <v>164</v>
      </c>
      <c r="F8" s="11"/>
      <c r="G8" s="11"/>
      <c r="H8" s="11"/>
      <c r="I8" s="11"/>
      <c r="J8" s="11"/>
      <c r="K8" s="11"/>
      <c r="L8" s="11"/>
    </row>
    <row r="9" spans="2:12">
      <c r="E9" s="7" t="s">
        <v>165</v>
      </c>
      <c r="F9" s="7"/>
      <c r="G9" s="7"/>
      <c r="H9" s="7"/>
      <c r="I9" s="7"/>
      <c r="J9" s="7"/>
      <c r="K9" s="7"/>
      <c r="L9" s="7"/>
    </row>
    <row r="10" spans="2:12">
      <c r="E10" s="8" t="s">
        <v>166</v>
      </c>
      <c r="F10" s="8"/>
      <c r="G10" s="8"/>
      <c r="H10" s="8"/>
      <c r="I10" s="8"/>
      <c r="J10" s="8"/>
      <c r="K10" s="8"/>
      <c r="L10" s="8"/>
    </row>
    <row r="11" spans="2:12" ht="31.35" customHeight="1">
      <c r="E11" s="8"/>
      <c r="F11" s="8"/>
      <c r="G11" s="8"/>
      <c r="H11" s="8"/>
      <c r="I11" s="8"/>
      <c r="J11" s="8"/>
      <c r="K11" s="8"/>
      <c r="L11" s="8"/>
    </row>
    <row r="12" spans="2:12" ht="14.1" customHeight="1">
      <c r="E12" s="14" t="s">
        <v>167</v>
      </c>
      <c r="F12" s="14"/>
      <c r="G12" s="14"/>
      <c r="H12" s="14"/>
      <c r="I12" s="14"/>
      <c r="J12" s="14"/>
      <c r="K12" s="14"/>
      <c r="L12" s="14"/>
    </row>
    <row r="13" spans="2:12">
      <c r="E13" s="14"/>
      <c r="F13" s="14"/>
      <c r="G13" s="14"/>
      <c r="H13" s="14"/>
      <c r="I13" s="14"/>
      <c r="J13" s="14"/>
      <c r="K13" s="14"/>
      <c r="L13" s="14"/>
    </row>
    <row r="14" spans="2:12">
      <c r="E14" s="14"/>
      <c r="F14" s="14"/>
      <c r="G14" s="14"/>
      <c r="H14" s="14"/>
      <c r="I14" s="14"/>
      <c r="J14" s="14"/>
      <c r="K14" s="14"/>
      <c r="L14" s="14"/>
    </row>
    <row r="15" spans="2:12" ht="35.1" customHeight="1">
      <c r="E15" s="14"/>
      <c r="F15" s="14"/>
      <c r="G15" s="14"/>
      <c r="H15" s="14"/>
      <c r="I15" s="14"/>
      <c r="J15" s="14"/>
      <c r="K15" s="14"/>
      <c r="L15" s="14"/>
    </row>
    <row r="16" spans="2:12" ht="20.100000000000001" customHeight="1">
      <c r="E16" s="5"/>
      <c r="F16" s="5"/>
      <c r="G16" s="5"/>
      <c r="H16" s="5"/>
      <c r="I16" s="5"/>
      <c r="J16" s="5"/>
      <c r="K16" s="5"/>
      <c r="L16" s="5"/>
    </row>
    <row r="17" spans="5:12">
      <c r="E17" s="15" t="s">
        <v>168</v>
      </c>
      <c r="F17" s="15"/>
      <c r="G17" s="15"/>
      <c r="H17" s="15"/>
      <c r="I17" s="15"/>
      <c r="J17" s="15"/>
      <c r="K17" s="15"/>
      <c r="L17" s="15"/>
    </row>
    <row r="18" spans="5:12">
      <c r="E18" s="16" t="s">
        <v>169</v>
      </c>
      <c r="F18" s="16"/>
      <c r="G18" s="16"/>
      <c r="H18" s="16"/>
      <c r="I18" s="16"/>
      <c r="J18" s="16"/>
      <c r="K18" s="16"/>
      <c r="L18" s="16"/>
    </row>
    <row r="19" spans="5:12" ht="14.1" customHeight="1">
      <c r="E19" s="17" t="s">
        <v>170</v>
      </c>
      <c r="F19" s="17"/>
      <c r="G19" s="17"/>
      <c r="H19" s="17"/>
      <c r="I19" s="17"/>
      <c r="J19" s="17"/>
      <c r="K19" s="17"/>
      <c r="L19" s="17"/>
    </row>
    <row r="20" spans="5:12">
      <c r="E20" s="17"/>
      <c r="F20" s="17"/>
      <c r="G20" s="17"/>
      <c r="H20" s="17"/>
      <c r="I20" s="17"/>
      <c r="J20" s="17"/>
      <c r="K20" s="17"/>
      <c r="L20" s="17"/>
    </row>
    <row r="21" spans="5:12">
      <c r="E21" s="17"/>
      <c r="F21" s="17"/>
      <c r="G21" s="17"/>
      <c r="H21" s="17"/>
      <c r="I21" s="17"/>
      <c r="J21" s="17"/>
      <c r="K21" s="17"/>
      <c r="L21" s="17"/>
    </row>
    <row r="22" spans="5:12">
      <c r="E22" s="17"/>
      <c r="F22" s="17"/>
      <c r="G22" s="17"/>
      <c r="H22" s="17"/>
      <c r="I22" s="17"/>
      <c r="J22" s="17"/>
      <c r="K22" s="17"/>
      <c r="L22" s="17"/>
    </row>
    <row r="23" spans="5:12">
      <c r="E23" s="17"/>
      <c r="F23" s="17"/>
      <c r="G23" s="17"/>
      <c r="H23" s="17"/>
      <c r="I23" s="17"/>
      <c r="J23" s="17"/>
      <c r="K23" s="17"/>
      <c r="L23" s="17"/>
    </row>
    <row r="24" spans="5:12">
      <c r="E24" s="17"/>
      <c r="F24" s="17"/>
      <c r="G24" s="17"/>
      <c r="H24" s="17"/>
      <c r="I24" s="17"/>
      <c r="J24" s="17"/>
      <c r="K24" s="17"/>
      <c r="L24" s="17"/>
    </row>
    <row r="25" spans="5:12" ht="25.5" customHeight="1">
      <c r="E25" s="17"/>
      <c r="F25" s="17"/>
      <c r="G25" s="17"/>
      <c r="H25" s="17"/>
      <c r="I25" s="17"/>
      <c r="J25" s="17"/>
      <c r="K25" s="17"/>
      <c r="L25" s="17"/>
    </row>
    <row r="27" spans="5:12">
      <c r="E27" s="12"/>
      <c r="F27" s="12"/>
      <c r="G27" s="12"/>
      <c r="H27" s="12"/>
      <c r="I27" s="12"/>
      <c r="J27" s="12"/>
      <c r="K27" s="12"/>
      <c r="L27" s="12"/>
    </row>
    <row r="28" spans="5:12">
      <c r="E28" s="13" t="s">
        <v>171</v>
      </c>
      <c r="F28" s="13"/>
      <c r="G28" s="13"/>
      <c r="H28" s="13"/>
      <c r="I28" s="13"/>
      <c r="J28" s="13"/>
      <c r="K28" s="13"/>
      <c r="L28" s="13"/>
    </row>
    <row r="29" spans="5:12">
      <c r="E29" s="13" t="s">
        <v>172</v>
      </c>
      <c r="F29" s="13"/>
      <c r="G29" s="13"/>
      <c r="H29" s="13"/>
      <c r="I29" s="13"/>
      <c r="J29" s="13"/>
      <c r="K29" s="13"/>
      <c r="L29" s="13"/>
    </row>
    <row r="30" spans="5:12">
      <c r="E30" s="13" t="s">
        <v>173</v>
      </c>
      <c r="F30" s="13"/>
      <c r="G30" s="13"/>
      <c r="H30" s="13"/>
      <c r="I30" s="13"/>
      <c r="J30" s="13"/>
      <c r="K30" s="13"/>
      <c r="L30" s="13"/>
    </row>
  </sheetData>
  <mergeCells count="14">
    <mergeCell ref="E27:L27"/>
    <mergeCell ref="E28:L28"/>
    <mergeCell ref="E29:L29"/>
    <mergeCell ref="E30:L30"/>
    <mergeCell ref="E12:L15"/>
    <mergeCell ref="E17:L17"/>
    <mergeCell ref="E18:L18"/>
    <mergeCell ref="E19:L25"/>
    <mergeCell ref="E9:L9"/>
    <mergeCell ref="E10:L11"/>
    <mergeCell ref="E3:L3"/>
    <mergeCell ref="E4:L4"/>
    <mergeCell ref="E5:L6"/>
    <mergeCell ref="E8:L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9Slide</dc:creator>
  <cp:keywords/>
  <dc:description/>
  <cp:lastModifiedBy>Trương Hoàng Hiệp</cp:lastModifiedBy>
  <cp:revision/>
  <dcterms:created xsi:type="dcterms:W3CDTF">2021-08-20T04:16:40Z</dcterms:created>
  <dcterms:modified xsi:type="dcterms:W3CDTF">2026-07-03T09:59:30Z</dcterms:modified>
  <cp:category/>
  <cp:contentStatus/>
</cp:coreProperties>
</file>