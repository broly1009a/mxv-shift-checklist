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M:\Quanlygiaodich\Tai lieu hoat dong\Macro thống kê\Bao cao so lot giao dich\"/>
    </mc:Choice>
  </mc:AlternateContent>
  <xr:revisionPtr revIDLastSave="0" documentId="13_ncr:1_{14AFBECD-A1E4-4730-9307-C5521CED5D4B}" xr6:coauthVersionLast="36" xr6:coauthVersionMax="36" xr10:uidLastSave="{00000000-0000-0000-0000-000000000000}"/>
  <bookViews>
    <workbookView xWindow="0" yWindow="0" windowWidth="57600" windowHeight="12105" xr2:uid="{E80D2226-D3A9-49EE-B05C-4FF101AEE35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  <c r="A4" i="2" l="1"/>
  <c r="A2" i="2"/>
  <c r="A3" i="2" l="1"/>
  <c r="A16" i="2" s="1"/>
  <c r="A17" i="2" l="1"/>
  <c r="A19" i="2"/>
  <c r="A12" i="2"/>
  <c r="A9" i="2"/>
  <c r="A15" i="2"/>
  <c r="A11" i="2"/>
  <c r="A10" i="2"/>
  <c r="A13" i="2"/>
  <c r="A5" i="2"/>
  <c r="A14" i="2"/>
  <c r="A8" i="2"/>
  <c r="A7" i="2"/>
  <c r="A6" i="2"/>
</calcChain>
</file>

<file path=xl/sharedStrings.xml><?xml version="1.0" encoding="utf-8"?>
<sst xmlns="http://schemas.openxmlformats.org/spreadsheetml/2006/main" count="3" uniqueCount="3">
  <si>
    <t>Ngày phiên ghép</t>
  </si>
  <si>
    <t>M:\Quanlygiaodich\Tai lieu hoat dong\Backup CQG\Futures\</t>
  </si>
  <si>
    <t>M:\Quanlygiaodich\Tai lieu hoat dong\Backup MS\Futures\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</si>
</sst>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542925</xdr:colOff>
      <xdr:row>2</xdr:row>
      <xdr:rowOff>47625</xdr:rowOff>
    </xdr:from>
    <xdr:to>
      <xdr:col>6</xdr:col>
      <xdr:colOff>95250</xdr:colOff>
      <xdr:row>5</xdr:row>
      <xdr:rowOff>0</xdr:rowOff>
    </xdr:to>
    <xdr:sp macro="[0]!ghep_f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B40A901-CE98-4F77-B49F-9C79422C9033}"/>
            </a:ext>
          </a:extLst>
        </xdr:cNvPr>
        <xdr:cNvSpPr/>
      </xdr:nvSpPr>
      <xdr:spPr>
        <a:xfrm>
          <a:off x="2933700" y="428625"/>
          <a:ext cx="1381125" cy="523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400"/>
            <a:t>Ghép FR</a:t>
          </a:r>
          <a:endParaRPr lang="en-US" sz="1400"/>
        </a:p>
      </xdr:txBody>
    </xdr:sp>
    <xdr:clientData/>
  </xdr:twoCellAnchor>
  <xdr:twoCellAnchor>
    <xdr:from>
      <xdr:col>4</xdr:col>
      <xdr:colOff>104775</xdr:colOff>
      <xdr:row>7</xdr:row>
      <xdr:rowOff>142875</xdr:rowOff>
    </xdr:from>
    <xdr:to>
      <xdr:col>6</xdr:col>
      <xdr:colOff>190500</xdr:colOff>
      <xdr:row>10</xdr:row>
      <xdr:rowOff>171450</xdr:rowOff>
    </xdr:to>
    <xdr:sp macro="[0]!ghep_op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7D13A7F-0437-4936-8257-7FD050C00A8B}"/>
            </a:ext>
          </a:extLst>
        </xdr:cNvPr>
        <xdr:cNvSpPr/>
      </xdr:nvSpPr>
      <xdr:spPr>
        <a:xfrm>
          <a:off x="3105150" y="1476375"/>
          <a:ext cx="13049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400"/>
            <a:t>Ghép OP</a:t>
          </a:r>
          <a:endParaRPr lang="en-US" sz="1400"/>
        </a:p>
      </xdr:txBody>
    </xdr:sp>
    <xdr:clientData/>
  </xdr:twoCellAnchor>
  <xdr:twoCellAnchor>
    <xdr:from>
      <xdr:col>4</xdr:col>
      <xdr:colOff>104775</xdr:colOff>
      <xdr:row>12</xdr:row>
      <xdr:rowOff>161925</xdr:rowOff>
    </xdr:from>
    <xdr:to>
      <xdr:col>6</xdr:col>
      <xdr:colOff>190500</xdr:colOff>
      <xdr:row>16</xdr:row>
      <xdr:rowOff>0</xdr:rowOff>
    </xdr:to>
    <xdr:sp macro="[0]!ghep_p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B3BD72B-91B9-4C60-A95B-BAF977D7FF35}"/>
            </a:ext>
          </a:extLst>
        </xdr:cNvPr>
        <xdr:cNvSpPr/>
      </xdr:nvSpPr>
      <xdr:spPr>
        <a:xfrm>
          <a:off x="3105150" y="2447925"/>
          <a:ext cx="13049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400"/>
            <a:t>Ghép PS</a:t>
          </a:r>
        </a:p>
      </xdr:txBody>
    </xdr:sp>
    <xdr:clientData/>
  </xdr:twoCellAnchor>
  <xdr:twoCellAnchor>
    <xdr:from>
      <xdr:col>4</xdr:col>
      <xdr:colOff>104775</xdr:colOff>
      <xdr:row>18</xdr:row>
      <xdr:rowOff>47625</xdr:rowOff>
    </xdr:from>
    <xdr:to>
      <xdr:col>6</xdr:col>
      <xdr:colOff>190500</xdr:colOff>
      <xdr:row>21</xdr:row>
      <xdr:rowOff>76200</xdr:rowOff>
    </xdr:to>
    <xdr:sp macro="[0]!ghep_or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1AC0E14-6E65-4D51-B864-B6B967A1BB32}"/>
            </a:ext>
          </a:extLst>
        </xdr:cNvPr>
        <xdr:cNvSpPr/>
      </xdr:nvSpPr>
      <xdr:spPr>
        <a:xfrm>
          <a:off x="3105150" y="3476625"/>
          <a:ext cx="1304925" cy="600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400"/>
            <a:t>Ghép </a:t>
          </a:r>
          <a:r>
            <a:rPr lang="en-US" sz="1400"/>
            <a:t>Order</a:t>
          </a:r>
          <a:endParaRPr lang="vi-V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0E05B-4904-4DEA-A053-6389C0CC8541}">
  <sheetPr codeName="Sheet1"/>
  <dimension ref="A1:B1"/>
  <sheetViews>
    <sheetView tabSelected="1" workbookViewId="0">
      <selection activeCell="B1" sqref="B1"/>
    </sheetView>
  </sheetViews>
  <sheetFormatPr defaultRowHeight="15" x14ac:dyDescent="0.25"/>
  <cols>
    <col min="1" max="1" width="16" bestFit="1" customWidth="1"/>
    <col min="2" max="2" width="10.7109375" bestFit="1" customWidth="1"/>
  </cols>
  <sheetData>
    <row r="1" spans="1:2" x14ac:dyDescent="0.25">
      <c r="A1" t="s">
        <v>0</v>
      </c>
      <c r="B1" s="1">
        <f ca="1">WORKDAY(TODAY(),-1)</f>
        <v>46119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1515-7CE2-4040-9D81-A018CB542380}">
  <sheetPr codeName="Sheet2"/>
  <dimension ref="A1:A19"/>
  <sheetViews>
    <sheetView workbookViewId="0">
      <selection activeCell="A18" sqref="A18"/>
    </sheetView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tr">
        <f ca="1">YEAR(Sheet1!B1)&amp;"\"</f>
        <v>2026\</v>
      </c>
    </row>
    <row r="3" spans="1:1" x14ac:dyDescent="0.25">
      <c r="A3" t="str">
        <f ca="1">"T"&amp;TEXT(Sheet1!B1,"mm")&amp;"."&amp;A2</f>
        <v>T04.2026\</v>
      </c>
    </row>
    <row r="4" spans="1:1" x14ac:dyDescent="0.25">
      <c r="A4" t="str">
        <f ca="1">TEXT(Sheet1!B1,"dd.mm")</f>
        <v>07.04</v>
      </c>
    </row>
    <row r="5" spans="1:1" x14ac:dyDescent="0.25">
      <c r="A5" t="str">
        <f ca="1">A1&amp;A2&amp;A3&amp;A4&amp;"\FR1.xlsx"</f>
        <v>M:\Quanlygiaodich\Tai lieu hoat dong\Backup CQG\Futures\2026\T04.2026\07.04\FR1.xlsx</v>
      </c>
    </row>
    <row r="6" spans="1:1" x14ac:dyDescent="0.25">
      <c r="A6" t="str">
        <f ca="1">A1&amp;A2&amp;A3&amp;A4&amp;"\FR2.xlsx"</f>
        <v>M:\Quanlygiaodich\Tai lieu hoat dong\Backup CQG\Futures\2026\T04.2026\07.04\FR2.xlsx</v>
      </c>
    </row>
    <row r="7" spans="1:1" x14ac:dyDescent="0.25">
      <c r="A7" t="str">
        <f ca="1">A1&amp;A2&amp;A3&amp;A4&amp;"\FR.xlsx"</f>
        <v>M:\Quanlygiaodich\Tai lieu hoat dong\Backup CQG\Futures\2026\T04.2026\07.04\FR.xlsx</v>
      </c>
    </row>
    <row r="8" spans="1:1" x14ac:dyDescent="0.25">
      <c r="A8" t="str">
        <f ca="1">A1&amp;A2&amp;A3&amp;A4&amp;"\OP1.xlsx"</f>
        <v>M:\Quanlygiaodich\Tai lieu hoat dong\Backup CQG\Futures\2026\T04.2026\07.04\OP1.xlsx</v>
      </c>
    </row>
    <row r="9" spans="1:1" x14ac:dyDescent="0.25">
      <c r="A9" t="str">
        <f ca="1">A1&amp;A2&amp;A3&amp;A4&amp;"\OP2.xlsx"</f>
        <v>M:\Quanlygiaodich\Tai lieu hoat dong\Backup CQG\Futures\2026\T04.2026\07.04\OP2.xlsx</v>
      </c>
    </row>
    <row r="10" spans="1:1" x14ac:dyDescent="0.25">
      <c r="A10" t="str">
        <f ca="1">A1&amp;A2&amp;A3&amp;A4&amp;"\OP.xlsx"</f>
        <v>M:\Quanlygiaodich\Tai lieu hoat dong\Backup CQG\Futures\2026\T04.2026\07.04\OP.xlsx</v>
      </c>
    </row>
    <row r="11" spans="1:1" x14ac:dyDescent="0.25">
      <c r="A11" t="str">
        <f ca="1">A1&amp;A2&amp;A3&amp;A4&amp;"\PS1.xlsx"</f>
        <v>M:\Quanlygiaodich\Tai lieu hoat dong\Backup CQG\Futures\2026\T04.2026\07.04\PS1.xlsx</v>
      </c>
    </row>
    <row r="12" spans="1:1" x14ac:dyDescent="0.25">
      <c r="A12" t="str">
        <f ca="1">A1&amp;A2&amp;A3&amp;A4&amp;"\PS2.xlsx"</f>
        <v>M:\Quanlygiaodich\Tai lieu hoat dong\Backup CQG\Futures\2026\T04.2026\07.04\PS2.xlsx</v>
      </c>
    </row>
    <row r="13" spans="1:1" x14ac:dyDescent="0.25">
      <c r="A13" t="str">
        <f ca="1">A1&amp;A2&amp;A3&amp;A4&amp;"\PS.xlsx"</f>
        <v>M:\Quanlygiaodich\Tai lieu hoat dong\Backup CQG\Futures\2026\T04.2026\07.04\PS.xlsx</v>
      </c>
    </row>
    <row r="14" spans="1:1" x14ac:dyDescent="0.25">
      <c r="A14" t="str">
        <f ca="1">A1&amp;A2&amp;A3&amp;A4&amp;"\Od1.xlsx"</f>
        <v>M:\Quanlygiaodich\Tai lieu hoat dong\Backup CQG\Futures\2026\T04.2026\07.04\Od1.xlsx</v>
      </c>
    </row>
    <row r="15" spans="1:1" x14ac:dyDescent="0.25">
      <c r="A15" t="str">
        <f ca="1">A1&amp;A2&amp;A3&amp;A4&amp;"\Od2.xlsx"</f>
        <v>M:\Quanlygiaodich\Tai lieu hoat dong\Backup CQG\Futures\2026\T04.2026\07.04\Od2.xlsx</v>
      </c>
    </row>
    <row r="16" spans="1:1" x14ac:dyDescent="0.25">
      <c r="A16" t="str">
        <f ca="1">A1&amp;A2&amp;A3&amp;A4&amp;"\Od.xlsx"</f>
        <v>M:\Quanlygiaodich\Tai lieu hoat dong\Backup CQG\Futures\2026\T04.2026\07.04\Od.xlsx</v>
      </c>
    </row>
    <row r="17" spans="1:1" x14ac:dyDescent="0.25">
      <c r="A17" t="str">
        <f ca="1">A1&amp;A2&amp;A3&amp;A4&amp;"\TTTT.xlsx"</f>
        <v>M:\Quanlygiaodich\Tai lieu hoat dong\Backup CQG\Futures\2026\T04.2026\07.04\TTTT.xlsx</v>
      </c>
    </row>
    <row r="18" spans="1:1" x14ac:dyDescent="0.25">
      <c r="A18" t="s">
        <v>2</v>
      </c>
    </row>
    <row r="19" spans="1:1" x14ac:dyDescent="0.25">
      <c r="A19" t="str">
        <f ca="1">A18&amp;A2&amp;A3&amp;A4&amp;"\TTTT.xlsx"</f>
        <v>M:\Quanlygiaodich\Tai lieu hoat dong\Backup MS\Futures\2026\T04.2026\07.04\TTTT.xlsx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Quan Ly Giao Dich</dc:creator>
  <cp:lastModifiedBy>Nguyen Dao Nguyen</cp:lastModifiedBy>
  <dcterms:created xsi:type="dcterms:W3CDTF">2023-12-12T10:42:13Z</dcterms:created>
  <dcterms:modified xsi:type="dcterms:W3CDTF">2026-04-08T01:19:02Z</dcterms:modified>
</cp:coreProperties>
</file>